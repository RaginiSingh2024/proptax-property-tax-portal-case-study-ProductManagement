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 Sheet" sheetId="1" state="visible" r:id="rId1"/>
    <sheet xmlns:r="http://schemas.openxmlformats.org/officeDocument/2006/relationships" name="Step-by-Step Calcul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  <font>
      <b val="1"/>
      <color rgb="00FFFFFF"/>
      <sz val="15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4" fillId="2" borderId="0" pivotButton="0" quotePrefix="0" xfId="0"/>
    <xf numFmtId="0" fontId="3" fillId="2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ySplit="21" topLeftCell="A22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18" customWidth="1" min="3" max="3"/>
    <col width="18" customWidth="1" min="4" max="4"/>
    <col width="18" customWidth="1" min="5" max="5"/>
    <col width="22" customWidth="1" min="6" max="6"/>
  </cols>
  <sheetData>
    <row r="1">
      <c r="A1" s="1" t="inlineStr">
        <is>
          <t>PropTax – Forecast Sheet | Case Study 141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>
      <c r="A3" s="3" t="inlineStr">
        <is>
          <t>Student Name</t>
        </is>
      </c>
      <c r="B3" s="4" t="inlineStr">
        <is>
          <t>Ragini Singh</t>
        </is>
      </c>
      <c r="C3" s="2" t="n"/>
      <c r="D3" s="2" t="n"/>
      <c r="E3" s="2" t="n"/>
      <c r="F3" s="2" t="n"/>
    </row>
    <row r="4">
      <c r="A4" s="3" t="inlineStr">
        <is>
          <t>Roll No.</t>
        </is>
      </c>
      <c r="B4" s="4" t="inlineStr">
        <is>
          <t>150096724023</t>
        </is>
      </c>
      <c r="C4" s="2" t="n"/>
      <c r="D4" s="2" t="n"/>
      <c r="E4" s="2" t="n"/>
      <c r="F4" s="2" t="n"/>
    </row>
    <row r="5">
      <c r="A5" s="3" t="inlineStr">
        <is>
          <t>Case Study No.</t>
        </is>
      </c>
      <c r="B5" s="4" t="inlineStr">
        <is>
          <t>141</t>
        </is>
      </c>
      <c r="C5" s="2" t="n"/>
      <c r="D5" s="2" t="n"/>
      <c r="E5" s="2" t="n"/>
      <c r="F5" s="2" t="n"/>
    </row>
    <row r="6">
      <c r="A6" s="3" t="inlineStr">
        <is>
          <t>Case Study Title</t>
        </is>
      </c>
      <c r="B6" s="4" t="inlineStr">
        <is>
          <t>PropTax – Online Property Tax Self-Assessment and Payment Portal</t>
        </is>
      </c>
      <c r="C6" s="2" t="n"/>
      <c r="D6" s="2" t="n"/>
      <c r="E6" s="2" t="n"/>
      <c r="F6" s="2" t="n"/>
    </row>
    <row r="7">
      <c r="A7" s="3" t="inlineStr">
        <is>
          <t>Subject</t>
        </is>
      </c>
      <c r="B7" s="4" t="inlineStr">
        <is>
          <t>Software Engineering &amp; Project Management</t>
        </is>
      </c>
      <c r="C7" s="2" t="n"/>
      <c r="D7" s="2" t="n"/>
      <c r="E7" s="2" t="n"/>
      <c r="F7" s="2" t="n"/>
    </row>
    <row r="8">
      <c r="A8" s="3" t="inlineStr">
        <is>
          <t>Semester</t>
        </is>
      </c>
      <c r="B8" s="4" t="inlineStr">
        <is>
          <t>V</t>
        </is>
      </c>
      <c r="C8" s="2" t="n"/>
      <c r="D8" s="2" t="n"/>
      <c r="E8" s="2" t="n"/>
      <c r="F8" s="2" t="n"/>
    </row>
    <row r="9">
      <c r="A9" s="3" t="inlineStr">
        <is>
          <t>Examination</t>
        </is>
      </c>
      <c r="B9" s="4" t="inlineStr">
        <is>
          <t>Sprint 1 Examination</t>
        </is>
      </c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5" t="inlineStr">
        <is>
          <t>Given Project Data</t>
        </is>
      </c>
      <c r="B12" s="4" t="n"/>
      <c r="C12" s="4" t="n"/>
      <c r="D12" s="2" t="n"/>
      <c r="E12" s="2" t="n"/>
      <c r="F12" s="2" t="n"/>
    </row>
    <row r="13">
      <c r="A13" s="6" t="inlineStr">
        <is>
          <t>Search &amp; Calculator</t>
        </is>
      </c>
      <c r="B13" s="4" t="inlineStr">
        <is>
          <t>34 points</t>
        </is>
      </c>
      <c r="C13" s="2" t="n"/>
      <c r="D13" s="2" t="n"/>
      <c r="E13" s="2" t="n"/>
      <c r="F13" s="2" t="n"/>
    </row>
    <row r="14">
      <c r="A14" s="6" t="inlineStr">
        <is>
          <t>Payment &amp; Receipts</t>
        </is>
      </c>
      <c r="B14" s="4" t="inlineStr">
        <is>
          <t>21 points</t>
        </is>
      </c>
      <c r="C14" s="2" t="n"/>
      <c r="D14" s="2" t="n"/>
      <c r="E14" s="2" t="n"/>
      <c r="F14" s="2" t="n"/>
    </row>
    <row r="15">
      <c r="A15" s="6" t="inlineStr">
        <is>
          <t>Objections Workflow</t>
        </is>
      </c>
      <c r="B15" s="4" t="inlineStr">
        <is>
          <t>29 points</t>
        </is>
      </c>
      <c r="C15" s="2" t="n"/>
      <c r="D15" s="2" t="n"/>
      <c r="E15" s="2" t="n"/>
      <c r="F15" s="2" t="n"/>
    </row>
    <row r="16">
      <c r="A16" s="6" t="inlineStr">
        <is>
          <t>Velocity</t>
        </is>
      </c>
      <c r="B16" s="4" t="inlineStr">
        <is>
          <t>11 points per 2-week sprint</t>
        </is>
      </c>
      <c r="C16" s="2" t="n"/>
      <c r="D16" s="2" t="n"/>
      <c r="E16" s="2" t="n"/>
      <c r="F16" s="2" t="n"/>
    </row>
    <row r="17">
      <c r="A17" s="6" t="inlineStr">
        <is>
          <t>Tax year starts</t>
        </is>
      </c>
      <c r="B17" s="4" t="inlineStr">
        <is>
          <t>16 weeks</t>
        </is>
      </c>
      <c r="C17" s="2" t="n"/>
      <c r="D17" s="2" t="n"/>
      <c r="E17" s="2" t="n"/>
      <c r="F17" s="2" t="n"/>
    </row>
    <row r="18">
      <c r="A18" s="6" t="inlineStr">
        <is>
          <t>Online target</t>
        </is>
      </c>
      <c r="B18" s="4" t="inlineStr">
        <is>
          <t>35% of payments in Year 1</t>
        </is>
      </c>
      <c r="C18" s="2" t="n"/>
      <c r="D18" s="2" t="n"/>
      <c r="E18" s="2" t="n"/>
      <c r="F18" s="2" t="n"/>
    </row>
    <row r="19">
      <c r="A19" s="2" t="n"/>
      <c r="B19" s="2" t="n"/>
      <c r="C19" s="2" t="n"/>
      <c r="D19" s="2" t="n"/>
      <c r="E19" s="2" t="n"/>
      <c r="F19" s="2" t="n"/>
    </row>
    <row r="20">
      <c r="A20" s="2" t="n"/>
      <c r="B20" s="2" t="n"/>
      <c r="C20" s="2" t="n"/>
      <c r="D20" s="2" t="n"/>
      <c r="E20" s="2" t="n"/>
      <c r="F20" s="2" t="n"/>
    </row>
    <row r="21">
      <c r="A21" s="7" t="inlineStr">
        <is>
          <t>Forecast – Without Objections (Release 1)</t>
        </is>
      </c>
      <c r="B21" s="2" t="n"/>
      <c r="C21" s="2" t="n"/>
      <c r="D21" s="2" t="n"/>
      <c r="E21" s="2" t="n"/>
      <c r="F21" s="2" t="n"/>
    </row>
    <row r="22">
      <c r="A22" s="2" t="n"/>
      <c r="B22" s="2" t="n"/>
      <c r="C22" s="2" t="n"/>
      <c r="D22" s="2" t="n"/>
      <c r="E22" s="2" t="n"/>
      <c r="F22" s="2" t="n"/>
    </row>
    <row r="23">
      <c r="A23" s="6" t="inlineStr">
        <is>
          <t>Search &amp; Calculator</t>
        </is>
      </c>
      <c r="B23" s="4" t="n">
        <v>34</v>
      </c>
      <c r="C23" s="2" t="n"/>
      <c r="D23" s="2" t="n"/>
      <c r="E23" s="2" t="n"/>
      <c r="F23" s="2" t="n"/>
    </row>
    <row r="24">
      <c r="A24" s="6" t="inlineStr">
        <is>
          <t>Payment &amp; Receipts</t>
        </is>
      </c>
      <c r="B24" s="4" t="n">
        <v>21</v>
      </c>
      <c r="C24" s="2" t="n"/>
      <c r="D24" s="2" t="n"/>
      <c r="E24" s="2" t="n"/>
      <c r="F24" s="2" t="n"/>
    </row>
    <row r="25">
      <c r="A25" s="6" t="inlineStr">
        <is>
          <t>Total Story Points</t>
        </is>
      </c>
      <c r="B25" s="8">
        <f>B23+B24</f>
        <v/>
      </c>
      <c r="C25" s="2" t="n"/>
      <c r="D25" s="2" t="n"/>
      <c r="E25" s="2" t="n"/>
      <c r="F25" s="2" t="n"/>
    </row>
    <row r="26">
      <c r="A26" s="6" t="inlineStr">
        <is>
          <t>Velocity (points/sprint)</t>
        </is>
      </c>
      <c r="B26" s="4" t="n">
        <v>11</v>
      </c>
      <c r="C26" s="2" t="n"/>
      <c r="D26" s="2" t="n"/>
      <c r="E26" s="2" t="n"/>
      <c r="F26" s="2" t="n"/>
    </row>
    <row r="27">
      <c r="A27" s="6" t="inlineStr">
        <is>
          <t>Sprint Length (weeks)</t>
        </is>
      </c>
      <c r="B27" s="4" t="n">
        <v>2</v>
      </c>
      <c r="C27" s="2" t="n"/>
      <c r="D27" s="2" t="n"/>
      <c r="E27" s="2" t="n"/>
      <c r="F27" s="2" t="n"/>
    </row>
    <row r="28">
      <c r="A28" s="6" t="inlineStr">
        <is>
          <t>Sprints Required</t>
        </is>
      </c>
      <c r="B28" s="8">
        <f>B25/B26</f>
        <v/>
      </c>
      <c r="C28" s="2" t="n"/>
      <c r="D28" s="2" t="n"/>
      <c r="E28" s="2" t="n"/>
      <c r="F28" s="2" t="n"/>
    </row>
    <row r="29">
      <c r="A29" s="6" t="inlineStr">
        <is>
          <t>Rounded Sprints</t>
        </is>
      </c>
      <c r="B29" s="8" t="n">
        <v>5</v>
      </c>
      <c r="C29" s="2" t="n"/>
      <c r="D29" s="2" t="n"/>
      <c r="E29" s="2" t="n"/>
      <c r="F29" s="2" t="n"/>
    </row>
    <row r="30">
      <c r="A30" s="6" t="inlineStr">
        <is>
          <t>Estimated Duration (weeks)</t>
        </is>
      </c>
      <c r="B30" s="4">
        <f>B28*B26</f>
        <v/>
      </c>
      <c r="C30" s="2" t="n"/>
      <c r="D30" s="2" t="n"/>
      <c r="E30" s="2" t="n"/>
      <c r="F30" s="2" t="n"/>
    </row>
    <row r="31">
      <c r="A31" s="6" t="inlineStr">
        <is>
          <t>Available Window (weeks)</t>
        </is>
      </c>
      <c r="B31" s="8" t="n">
        <v>16</v>
      </c>
      <c r="C31" s="2" t="n"/>
      <c r="D31" s="2" t="n"/>
      <c r="E31" s="2" t="n"/>
      <c r="F31" s="2" t="n"/>
    </row>
    <row r="32">
      <c r="A32" s="6" t="inlineStr">
        <is>
          <t>Schedule Buffer (weeks)</t>
        </is>
      </c>
      <c r="B32" s="4">
        <f>B30-B29</f>
        <v/>
      </c>
      <c r="C32" s="2" t="n"/>
      <c r="D32" s="2" t="n"/>
      <c r="E32" s="2" t="n"/>
      <c r="F32" s="2" t="n"/>
    </row>
    <row r="33">
      <c r="A33" s="2" t="n"/>
      <c r="B33" s="2" t="n"/>
      <c r="C33" s="2" t="n"/>
      <c r="D33" s="2" t="n"/>
      <c r="E33" s="2" t="n"/>
      <c r="F33" s="2" t="n"/>
    </row>
    <row r="34">
      <c r="A34" s="2" t="n"/>
      <c r="B34" s="2" t="n"/>
      <c r="C34" s="2" t="n"/>
      <c r="D34" s="2" t="n"/>
      <c r="E34" s="2" t="n"/>
      <c r="F34" s="2" t="n"/>
    </row>
    <row r="35">
      <c r="A35" s="7" t="inlineStr">
        <is>
          <t>Forecast – With Objections</t>
        </is>
      </c>
      <c r="B35" s="2" t="n"/>
      <c r="C35" s="2" t="n"/>
      <c r="D35" s="2" t="n"/>
      <c r="E35" s="2" t="n"/>
      <c r="F35" s="2" t="n"/>
    </row>
    <row r="36">
      <c r="A36" s="2" t="n"/>
      <c r="B36" s="2" t="n"/>
      <c r="C36" s="2" t="n"/>
      <c r="D36" s="2" t="n"/>
      <c r="E36" s="2" t="n"/>
      <c r="F36" s="2" t="n"/>
    </row>
    <row r="37">
      <c r="A37" s="6" t="inlineStr">
        <is>
          <t>Search &amp; Calculator</t>
        </is>
      </c>
      <c r="B37" s="4" t="n">
        <v>34</v>
      </c>
      <c r="C37" s="2" t="n"/>
      <c r="D37" s="2" t="n"/>
      <c r="E37" s="2" t="n"/>
      <c r="F37" s="2" t="n"/>
    </row>
    <row r="38">
      <c r="A38" s="6" t="inlineStr">
        <is>
          <t>Payment &amp; Receipts</t>
        </is>
      </c>
      <c r="B38" s="4" t="n">
        <v>21</v>
      </c>
      <c r="C38" s="2" t="n"/>
      <c r="D38" s="2" t="n"/>
      <c r="E38" s="2" t="n"/>
      <c r="F38" s="2" t="n"/>
    </row>
    <row r="39">
      <c r="A39" s="6" t="inlineStr">
        <is>
          <t>Objections Workflow</t>
        </is>
      </c>
      <c r="B39" s="4" t="n">
        <v>29</v>
      </c>
      <c r="C39" s="2" t="n"/>
      <c r="D39" s="2" t="n"/>
      <c r="E39" s="2" t="n"/>
      <c r="F39" s="2" t="n"/>
    </row>
    <row r="40">
      <c r="A40" s="6" t="inlineStr">
        <is>
          <t>Total Story Points</t>
        </is>
      </c>
      <c r="B40" s="8">
        <f>B37+B38+B39</f>
        <v/>
      </c>
      <c r="C40" s="2" t="n"/>
      <c r="D40" s="2" t="n"/>
      <c r="E40" s="2" t="n"/>
      <c r="F40" s="2" t="n"/>
    </row>
    <row r="41">
      <c r="A41" s="6" t="inlineStr">
        <is>
          <t>Velocity (points/sprint)</t>
        </is>
      </c>
      <c r="B41" s="4" t="n">
        <v>11</v>
      </c>
      <c r="C41" s="2" t="n"/>
      <c r="D41" s="2" t="n"/>
      <c r="E41" s="2" t="n"/>
      <c r="F41" s="2" t="n"/>
    </row>
    <row r="42">
      <c r="A42" s="6" t="inlineStr">
        <is>
          <t>Sprint Length (weeks)</t>
        </is>
      </c>
      <c r="B42" s="4" t="n">
        <v>2</v>
      </c>
      <c r="C42" s="2" t="n"/>
      <c r="D42" s="2" t="n"/>
      <c r="E42" s="2" t="n"/>
      <c r="F42" s="2" t="n"/>
    </row>
    <row r="43">
      <c r="A43" s="6" t="inlineStr">
        <is>
          <t>Exact Sprints Required</t>
        </is>
      </c>
      <c r="B43" s="8">
        <f>B40/B41</f>
        <v/>
      </c>
      <c r="C43" s="2" t="n"/>
      <c r="D43" s="2" t="n"/>
      <c r="E43" s="2" t="n"/>
      <c r="F43" s="2" t="n"/>
    </row>
    <row r="44">
      <c r="A44" s="6" t="inlineStr">
        <is>
          <t>Rounded Sprints</t>
        </is>
      </c>
      <c r="B44" s="8" t="n">
        <v>8</v>
      </c>
      <c r="C44" s="2" t="n"/>
      <c r="D44" s="2" t="n"/>
      <c r="E44" s="2" t="n"/>
      <c r="F44" s="2" t="n"/>
    </row>
    <row r="45">
      <c r="A45" s="6" t="inlineStr">
        <is>
          <t>Estimated Duration (weeks)</t>
        </is>
      </c>
      <c r="B45" s="4">
        <f>B43*B41</f>
        <v/>
      </c>
      <c r="C45" s="2" t="n"/>
      <c r="D45" s="2" t="n"/>
      <c r="E45" s="2" t="n"/>
      <c r="F45" s="2" t="n"/>
    </row>
    <row r="46">
      <c r="A46" s="6" t="inlineStr">
        <is>
          <t>Available Window (weeks)</t>
        </is>
      </c>
      <c r="B46" s="8" t="n">
        <v>16</v>
      </c>
      <c r="C46" s="2" t="n"/>
      <c r="D46" s="2" t="n"/>
      <c r="E46" s="2" t="n"/>
      <c r="F46" s="2" t="n"/>
    </row>
    <row r="47">
      <c r="A47" s="6" t="inlineStr">
        <is>
          <t>Schedule Buffer (weeks)</t>
        </is>
      </c>
      <c r="B47" s="4">
        <f>B45-B44</f>
        <v/>
      </c>
      <c r="C47" s="2" t="n"/>
      <c r="D47" s="2" t="n"/>
      <c r="E47" s="2" t="n"/>
      <c r="F47" s="2" t="n"/>
    </row>
    <row r="48">
      <c r="A48" s="2" t="n"/>
      <c r="B48" s="2" t="n"/>
      <c r="C48" s="2" t="n"/>
      <c r="D48" s="2" t="n"/>
      <c r="E48" s="2" t="n"/>
      <c r="F48" s="2" t="n"/>
    </row>
    <row r="49">
      <c r="A49" s="2" t="n"/>
      <c r="B49" s="2" t="n"/>
      <c r="C49" s="2" t="n"/>
      <c r="D49" s="2" t="n"/>
      <c r="E49" s="2" t="n"/>
      <c r="F49" s="2" t="n"/>
    </row>
    <row r="50">
      <c r="A50" s="2" t="n"/>
      <c r="B50" s="2" t="n"/>
      <c r="C50" s="2" t="n"/>
      <c r="D50" s="2" t="n"/>
      <c r="E50" s="2" t="n"/>
      <c r="F50" s="2" t="n"/>
    </row>
    <row r="51">
      <c r="A51" s="7" t="inlineStr">
        <is>
          <t>Comparison</t>
        </is>
      </c>
      <c r="B51" s="2" t="n"/>
      <c r="C51" s="2" t="n"/>
      <c r="D51" s="2" t="n"/>
      <c r="E51" s="2" t="n"/>
      <c r="F51" s="2" t="n"/>
    </row>
    <row r="52">
      <c r="A52" s="5" t="inlineStr">
        <is>
          <t>Scope</t>
        </is>
      </c>
      <c r="B52" s="5" t="inlineStr">
        <is>
          <t>Story Points</t>
        </is>
      </c>
      <c r="C52" s="5" t="inlineStr">
        <is>
          <t>Exact Sprints</t>
        </is>
      </c>
      <c r="D52" s="5" t="inlineStr">
        <is>
          <t>Rounded Sprints</t>
        </is>
      </c>
      <c r="E52" s="5" t="inlineStr">
        <is>
          <t>Duration</t>
        </is>
      </c>
      <c r="F52" s="5" t="inlineStr">
        <is>
          <t>Buffer vs 16 weeks</t>
        </is>
      </c>
    </row>
    <row r="53">
      <c r="A53" s="6" t="inlineStr">
        <is>
          <t>Without objections</t>
        </is>
      </c>
      <c r="B53" s="4" t="n">
        <v>55</v>
      </c>
      <c r="C53" s="4">
        <f>B25/B26</f>
        <v/>
      </c>
      <c r="D53" s="4" t="n">
        <v>5</v>
      </c>
      <c r="E53" s="4">
        <f>D53*2</f>
        <v/>
      </c>
      <c r="F53" s="4">
        <f>F53-E53</f>
        <v/>
      </c>
    </row>
    <row r="54">
      <c r="A54" s="6" t="inlineStr">
        <is>
          <t>With objections</t>
        </is>
      </c>
      <c r="B54" s="4" t="n">
        <v>84</v>
      </c>
      <c r="C54" s="4">
        <f>B40/B41</f>
        <v/>
      </c>
      <c r="D54" s="4" t="n">
        <v>8</v>
      </c>
      <c r="E54" s="4">
        <f>D54*2</f>
        <v/>
      </c>
      <c r="F54" s="4">
        <f>F54-E54</f>
        <v/>
      </c>
    </row>
    <row r="55">
      <c r="A55" s="2" t="n"/>
      <c r="B55" s="2" t="n"/>
      <c r="C55" s="2" t="n"/>
      <c r="D55" s="2" t="n"/>
      <c r="E55" s="2" t="n"/>
      <c r="F55" s="2" t="n"/>
    </row>
    <row r="56">
      <c r="A56" s="2" t="n"/>
      <c r="B56" s="2" t="n"/>
      <c r="C56" s="2" t="n"/>
      <c r="D56" s="2" t="n"/>
      <c r="E56" s="2" t="n"/>
      <c r="F56" s="2" t="n"/>
    </row>
    <row r="57">
      <c r="A57" s="2" t="n"/>
      <c r="B57" s="2" t="n"/>
      <c r="C57" s="2" t="n"/>
      <c r="D57" s="2" t="n"/>
      <c r="E57" s="2" t="n"/>
      <c r="F57" s="2" t="n"/>
    </row>
    <row r="58">
      <c r="A58" s="7" t="inlineStr">
        <is>
          <t>Assumptions &amp; Confidence</t>
        </is>
      </c>
      <c r="B58" s="2" t="n"/>
      <c r="C58" s="2" t="n"/>
      <c r="D58" s="2" t="n"/>
      <c r="E58" s="2" t="n"/>
      <c r="F58" s="2" t="n"/>
    </row>
    <row r="59">
      <c r="A59" s="2" t="inlineStr">
        <is>
          <t>• Velocity remains constant at 11 points per 2-week sprint.</t>
        </is>
      </c>
      <c r="B59" s="2" t="n"/>
      <c r="C59" s="2" t="n"/>
      <c r="D59" s="2" t="n"/>
      <c r="E59" s="2" t="n"/>
      <c r="F59" s="2" t="n"/>
    </row>
    <row r="60">
      <c r="A60" s="2" t="inlineStr">
        <is>
          <t>• Story-point estimates supplied by the case study are used without modification.</t>
        </is>
      </c>
      <c r="B60" s="2" t="n"/>
      <c r="C60" s="2" t="n"/>
      <c r="D60" s="2" t="n"/>
      <c r="E60" s="2" t="n"/>
      <c r="F60" s="2" t="n"/>
    </row>
    <row r="61">
      <c r="A61" s="2" t="inlineStr">
        <is>
          <t>• Partial sprint is rounded up to the next complete sprint for delivery forecasting.</t>
        </is>
      </c>
      <c r="B61" s="2" t="n"/>
      <c r="C61" s="2" t="n"/>
      <c r="D61" s="2" t="n"/>
      <c r="E61" s="2" t="n"/>
      <c r="F61" s="2" t="n"/>
    </row>
    <row r="62">
      <c r="A62" s="2" t="inlineStr">
        <is>
          <t>• The 16-week tax-year start is treated as the available schedule window.</t>
        </is>
      </c>
      <c r="B62" s="2" t="n"/>
      <c r="C62" s="2" t="n"/>
      <c r="D62" s="2" t="n"/>
      <c r="E62" s="2" t="n"/>
      <c r="F62" s="2" t="n"/>
    </row>
    <row r="63">
      <c r="A63" s="2" t="inlineStr">
        <is>
          <t>• No calendar start date is supplied, so the forecast is expressed in weeks and sprints.</t>
        </is>
      </c>
      <c r="B63" s="2" t="n"/>
      <c r="C63" s="2" t="n"/>
      <c r="D63" s="2" t="n"/>
      <c r="E63" s="2" t="n"/>
      <c r="F63" s="2" t="n"/>
    </row>
    <row r="64">
      <c r="A64" s="2" t="inlineStr">
        <is>
          <t>• The forecast is an estimate, not a delivery promise.</t>
        </is>
      </c>
      <c r="B64" s="2" t="n"/>
      <c r="C64" s="2" t="n"/>
      <c r="D64" s="2" t="n"/>
      <c r="E64" s="2" t="n"/>
      <c r="F64" s="2" t="n"/>
    </row>
    <row r="65">
      <c r="A65" s="2" t="n"/>
      <c r="B65" s="2" t="n"/>
      <c r="C65" s="2" t="n"/>
      <c r="D65" s="2" t="n"/>
      <c r="E65" s="2" t="n"/>
      <c r="F65" s="2" t="n"/>
    </row>
    <row r="66">
      <c r="A66" s="3" t="inlineStr">
        <is>
          <t>Confidence Level</t>
        </is>
      </c>
      <c r="B66" s="4" t="inlineStr">
        <is>
          <t>Medium confidence — the case study provides backlog points, velocity and the 16-week window, but does not provide historical velocity variance, task-level estimates or a calendar start date.</t>
        </is>
      </c>
      <c r="C66" s="2" t="n"/>
      <c r="D66" s="2" t="n"/>
      <c r="E66" s="2" t="n"/>
      <c r="F66" s="2" t="n"/>
    </row>
  </sheetData>
  <mergeCells count="12">
    <mergeCell ref="A51:F51"/>
    <mergeCell ref="A63:F63"/>
    <mergeCell ref="A60:F60"/>
    <mergeCell ref="A1:F1"/>
    <mergeCell ref="B66:F66"/>
    <mergeCell ref="A61:F61"/>
    <mergeCell ref="A58:F58"/>
    <mergeCell ref="A35:F35"/>
    <mergeCell ref="A62:F62"/>
    <mergeCell ref="A21:F21"/>
    <mergeCell ref="A64:F64"/>
    <mergeCell ref="A59:F5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5" customWidth="1" min="2" max="2"/>
    <col width="20" customWidth="1" min="3" max="3"/>
    <col width="48" customWidth="1" min="4" max="4"/>
  </cols>
  <sheetData>
    <row r="1">
      <c r="A1" s="9" t="inlineStr">
        <is>
          <t>Step-by-Step Forecast Calculations</t>
        </is>
      </c>
    </row>
    <row r="3">
      <c r="A3" s="10" t="inlineStr">
        <is>
          <t>Calculation</t>
        </is>
      </c>
      <c r="B3" s="10" t="inlineStr">
        <is>
          <t>Formula</t>
        </is>
      </c>
      <c r="C3" s="10" t="inlineStr">
        <is>
          <t>Result</t>
        </is>
      </c>
      <c r="D3" s="10" t="inlineStr">
        <is>
          <t>Explanation</t>
        </is>
      </c>
    </row>
    <row r="4">
      <c r="A4" s="11" t="inlineStr">
        <is>
          <t>Without Objections</t>
        </is>
      </c>
      <c r="B4" s="11" t="inlineStr">
        <is>
          <t>34 + 21</t>
        </is>
      </c>
      <c r="C4" s="11" t="inlineStr">
        <is>
          <t>55 points</t>
        </is>
      </c>
      <c r="D4" s="11" t="inlineStr">
        <is>
          <t>Search &amp; Calculator + Payment &amp; Receipts</t>
        </is>
      </c>
    </row>
    <row r="5">
      <c r="A5" s="11" t="inlineStr">
        <is>
          <t>Sprints</t>
        </is>
      </c>
      <c r="B5" s="11" t="inlineStr">
        <is>
          <t>55 / 11</t>
        </is>
      </c>
      <c r="C5" s="11" t="inlineStr">
        <is>
          <t>5 sprints</t>
        </is>
      </c>
      <c r="D5" s="11" t="inlineStr">
        <is>
          <t>Total points ÷ velocity</t>
        </is>
      </c>
    </row>
    <row r="6">
      <c r="A6" s="11" t="inlineStr">
        <is>
          <t>Duration</t>
        </is>
      </c>
      <c r="B6" s="11" t="inlineStr">
        <is>
          <t>5 × 2</t>
        </is>
      </c>
      <c r="C6" s="11" t="inlineStr">
        <is>
          <t>10 weeks</t>
        </is>
      </c>
      <c r="D6" s="11" t="inlineStr">
        <is>
          <t>Sprints × sprint length</t>
        </is>
      </c>
    </row>
    <row r="7">
      <c r="A7" s="11" t="inlineStr">
        <is>
          <t>Buffer</t>
        </is>
      </c>
      <c r="B7" s="11" t="inlineStr">
        <is>
          <t>16 - 10</t>
        </is>
      </c>
      <c r="C7" s="11" t="inlineStr">
        <is>
          <t>6 weeks</t>
        </is>
      </c>
      <c r="D7" s="11" t="inlineStr">
        <is>
          <t>Available window - estimated duration</t>
        </is>
      </c>
    </row>
    <row r="8">
      <c r="A8" s="11" t="inlineStr">
        <is>
          <t>With Objections</t>
        </is>
      </c>
      <c r="B8" s="11" t="inlineStr">
        <is>
          <t>34 + 21 + 29</t>
        </is>
      </c>
      <c r="C8" s="11" t="inlineStr">
        <is>
          <t>84 points</t>
        </is>
      </c>
      <c r="D8" s="11" t="inlineStr">
        <is>
          <t>Adds objections workflow</t>
        </is>
      </c>
    </row>
    <row r="9">
      <c r="A9" s="11" t="inlineStr">
        <is>
          <t>Exact sprints</t>
        </is>
      </c>
      <c r="B9" s="11" t="inlineStr">
        <is>
          <t>84 / 11</t>
        </is>
      </c>
      <c r="C9" s="11" t="inlineStr">
        <is>
          <t>7.636...</t>
        </is>
      </c>
      <c r="D9" s="11" t="inlineStr">
        <is>
          <t>Total points ÷ velocity</t>
        </is>
      </c>
    </row>
    <row r="10">
      <c r="A10" s="11" t="inlineStr">
        <is>
          <t>Rounded sprints</t>
        </is>
      </c>
      <c r="B10" s="11" t="inlineStr">
        <is>
          <t>ceil(7.636...)</t>
        </is>
      </c>
      <c r="C10" s="11" t="inlineStr">
        <is>
          <t>8 sprints</t>
        </is>
      </c>
      <c r="D10" s="11" t="inlineStr">
        <is>
          <t>Partial sprint rounded up</t>
        </is>
      </c>
    </row>
    <row r="11">
      <c r="A11" s="11" t="inlineStr">
        <is>
          <t>Duration</t>
        </is>
      </c>
      <c r="B11" s="11" t="inlineStr">
        <is>
          <t>8 × 2</t>
        </is>
      </c>
      <c r="C11" s="11" t="inlineStr">
        <is>
          <t>16 weeks</t>
        </is>
      </c>
      <c r="D11" s="11" t="inlineStr">
        <is>
          <t>Sprints × sprint length</t>
        </is>
      </c>
    </row>
    <row r="12">
      <c r="A12" s="11" t="inlineStr">
        <is>
          <t>Buffer</t>
        </is>
      </c>
      <c r="B12" s="11" t="inlineStr">
        <is>
          <t>16 - 16</t>
        </is>
      </c>
      <c r="C12" s="11" t="inlineStr">
        <is>
          <t>0 weeks</t>
        </is>
      </c>
      <c r="D12" s="11" t="inlineStr">
        <is>
          <t>Available window - estimated duration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2026-09-28T14:35:05Z</dcterms:created>
  <dcterms:modified xmlns:dcterms="http://purl.org/dc/terms/" xmlns:xsi="http://www.w3.org/2001/XMLSchema-instance" xsi:type="dcterms:W3CDTF">2026-09-28T14:35:05Z</dcterms:modified>
</cp:coreProperties>
</file>